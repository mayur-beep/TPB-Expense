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Dropdowns" sheetId="2" state="visible" r:id="rId4"/>
    <sheet name="Summary" sheetId="3" state="visible" r:id="rId5"/>
    <sheet name="Tally Mapping" sheetId="4" state="visible" r:id="rId6"/>
    <sheet name="Auto-Detection Rules" sheetId="5" state="visible" r:id="rId7"/>
    <sheet name="Review Work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<sst xmlns="http://schemas.openxmlformats.org/spreadsheetml/2006/main" count="450" uniqueCount="277">
  <si>
    <t xml:space="preserve">🟢 TALLY FORM FIELDS (Auto-populated from form)</t>
  </si>
  <si>
    <t xml:space="preserve">⚙️ AUTO-GENERATED</t>
  </si>
  <si>
    <t xml:space="preserve">🔴 REVIEW (Manager/Accounts fills)</t>
  </si>
  <si>
    <t xml:space="preserve">🤖 AUTO-FLAG (Helper)</t>
  </si>
  <si>
    <t xml:space="preserve">Date</t>
  </si>
  <si>
    <t xml:space="preserve">Amount</t>
  </si>
  <si>
    <t xml:space="preserve">Payment Type</t>
  </si>
  <si>
    <t xml:space="preserve">For</t>
  </si>
  <si>
    <t xml:space="preserve">Particular</t>
  </si>
  <si>
    <t xml:space="preserve">Platform</t>
  </si>
  <si>
    <t xml:space="preserve">Project</t>
  </si>
  <si>
    <t xml:space="preserve">Notes</t>
  </si>
  <si>
    <t xml:space="preserve">Source</t>
  </si>
  <si>
    <t xml:space="preserve">Transaction Done by</t>
  </si>
  <si>
    <t xml:space="preserve">Asked by</t>
  </si>
  <si>
    <t xml:space="preserve">Invoice File</t>
  </si>
  <si>
    <t xml:space="preserve">ID</t>
  </si>
  <si>
    <t xml:space="preserve">Submitted At</t>
  </si>
  <si>
    <t xml:space="preserve">Month</t>
  </si>
  <si>
    <t xml:space="preserve">Quarter</t>
  </si>
  <si>
    <t xml:space="preserve">Status</t>
  </si>
  <si>
    <t xml:space="preserve">Wastage Flag</t>
  </si>
  <si>
    <t xml:space="preserve">Wastage Reason</t>
  </si>
  <si>
    <t xml:space="preserve">Approved By</t>
  </si>
  <si>
    <t xml:space="preserve">Review Date</t>
  </si>
  <si>
    <t xml:space="preserve">Reviewer Notes</t>
  </si>
  <si>
    <t xml:space="preserve">⚠️ Auto-Flag</t>
  </si>
  <si>
    <t xml:space="preserve">Flag Reason</t>
  </si>
  <si>
    <t xml:space="preserve">2025-01-15</t>
  </si>
  <si>
    <t xml:space="preserve">Bank Transfer</t>
  </si>
  <si>
    <t xml:space="preserve">Outsource/PR</t>
  </si>
  <si>
    <t xml:space="preserve">Yahoo Finance PR Package - Monthly</t>
  </si>
  <si>
    <t xml:space="preserve">Accesswire</t>
  </si>
  <si>
    <t xml:space="preserve">Client PR Campaign</t>
  </si>
  <si>
    <t xml:space="preserve">Company</t>
  </si>
  <si>
    <t xml:space="preserve">Tarun</t>
  </si>
  <si>
    <t xml:space="preserve">Ankush</t>
  </si>
  <si>
    <t xml:space="preserve">https://drive.google.com/file/inv001</t>
  </si>
  <si>
    <t xml:space="preserve">TXN001</t>
  </si>
  <si>
    <t xml:space="preserve">2025-01-15 10:30</t>
  </si>
  <si>
    <t xml:space="preserve">Jan</t>
  </si>
  <si>
    <t xml:space="preserve">Q1</t>
  </si>
  <si>
    <t xml:space="preserve">Approved</t>
  </si>
  <si>
    <t xml:space="preserve">OK</t>
  </si>
  <si>
    <t xml:space="preserve">2025-01-16</t>
  </si>
  <si>
    <t xml:space="preserve">2025-01-14</t>
  </si>
  <si>
    <t xml:space="preserve">Credit Card</t>
  </si>
  <si>
    <t xml:space="preserve">Travel</t>
  </si>
  <si>
    <t xml:space="preserve">Dubai Flight + Hotel for Web3 Summit</t>
  </si>
  <si>
    <t xml:space="preserve">MakeMyTrip</t>
  </si>
  <si>
    <t xml:space="preserve">Web3 Summit Dubai</t>
  </si>
  <si>
    <t xml:space="preserve">2 nights stay</t>
  </si>
  <si>
    <t xml:space="preserve">https://drive.google.com/file/inv002</t>
  </si>
  <si>
    <t xml:space="preserve">TXN002</t>
  </si>
  <si>
    <t xml:space="preserve">2025-01-14 09:15</t>
  </si>
  <si>
    <t xml:space="preserve">⚠️ HIGH VALUE</t>
  </si>
  <si>
    <t xml:space="preserve">Amount &gt; ₹50K</t>
  </si>
  <si>
    <t xml:space="preserve">2025-01-13</t>
  </si>
  <si>
    <t xml:space="preserve">UPI</t>
  </si>
  <si>
    <t xml:space="preserve">Ads &amp; Marketing</t>
  </si>
  <si>
    <t xml:space="preserve">Google Ads January Campaign</t>
  </si>
  <si>
    <t xml:space="preserve">Google Ads</t>
  </si>
  <si>
    <t xml:space="preserve">Lead Gen Q1</t>
  </si>
  <si>
    <t xml:space="preserve">Ahmad</t>
  </si>
  <si>
    <t xml:space="preserve">https://drive.google.com/file/inv003</t>
  </si>
  <si>
    <t xml:space="preserve">TXN003</t>
  </si>
  <si>
    <t xml:space="preserve">2025-01-13 14:20</t>
  </si>
  <si>
    <t xml:space="preserve">2025-01-12</t>
  </si>
  <si>
    <t xml:space="preserve">G Suite</t>
  </si>
  <si>
    <t xml:space="preserve">G Suite Annual Subscription - 850 IDs</t>
  </si>
  <si>
    <t xml:space="preserve">Google Workspace</t>
  </si>
  <si>
    <t xml:space="preserve">Email Infrastructure</t>
  </si>
  <si>
    <t xml:space="preserve">350 IDs currently unused</t>
  </si>
  <si>
    <t xml:space="preserve">Megha</t>
  </si>
  <si>
    <t xml:space="preserve">https://drive.google.com/file/inv004</t>
  </si>
  <si>
    <t xml:space="preserve">TXN004</t>
  </si>
  <si>
    <t xml:space="preserve">2025-01-12 11:00</t>
  </si>
  <si>
    <t xml:space="preserve">Wastage</t>
  </si>
  <si>
    <t xml:space="preserve">350 unused accounts @ ₹1350/yr = ₹4.72L waste</t>
  </si>
  <si>
    <t xml:space="preserve">Need G Suite audit</t>
  </si>
  <si>
    <t xml:space="preserve">🚨 VERY HIGH</t>
  </si>
  <si>
    <t xml:space="preserve">Amount &gt; ₹1L</t>
  </si>
  <si>
    <t xml:space="preserve">2025-01-11</t>
  </si>
  <si>
    <t xml:space="preserve">Crypto</t>
  </si>
  <si>
    <t xml:space="preserve">Telegram</t>
  </si>
  <si>
    <t xml:space="preserve">Telegram Accounts Bulk Purchase - 1000 accounts</t>
  </si>
  <si>
    <t xml:space="preserve">TG Reseller</t>
  </si>
  <si>
    <t xml:space="preserve">Outreach Campaign</t>
  </si>
  <si>
    <t xml:space="preserve">For cold outreach</t>
  </si>
  <si>
    <t xml:space="preserve">Mayur</t>
  </si>
  <si>
    <t xml:space="preserve">TXN005</t>
  </si>
  <si>
    <t xml:space="preserve">2025-01-11 16:45</t>
  </si>
  <si>
    <t xml:space="preserve">Pending</t>
  </si>
  <si>
    <t xml:space="preserve">⚠️ NO INVOICE</t>
  </si>
  <si>
    <t xml:space="preserve">Invoice file missing</t>
  </si>
  <si>
    <t xml:space="preserve">2025-01-10</t>
  </si>
  <si>
    <t xml:space="preserve">Tools &amp; Subscriptions</t>
  </si>
  <si>
    <t xml:space="preserve">OpenAI API Credits</t>
  </si>
  <si>
    <t xml:space="preserve">OpenAI</t>
  </si>
  <si>
    <t xml:space="preserve">AI Automation</t>
  </si>
  <si>
    <t xml:space="preserve">Team usage</t>
  </si>
  <si>
    <t xml:space="preserve">Ashutosh</t>
  </si>
  <si>
    <t xml:space="preserve">https://drive.google.com/file/inv006</t>
  </si>
  <si>
    <t xml:space="preserve">TXN006</t>
  </si>
  <si>
    <t xml:space="preserve">2025-01-10 10:00</t>
  </si>
  <si>
    <t xml:space="preserve">2025-01-09</t>
  </si>
  <si>
    <t xml:space="preserve">Telegram Account Purchase</t>
  </si>
  <si>
    <t xml:space="preserve">Buy Telegram account</t>
  </si>
  <si>
    <t xml:space="preserve">Outreach</t>
  </si>
  <si>
    <t xml:space="preserve">Suspicious seller</t>
  </si>
  <si>
    <t xml:space="preserve">Personal</t>
  </si>
  <si>
    <t xml:space="preserve">Vineet</t>
  </si>
  <si>
    <t xml:space="preserve">Rahul</t>
  </si>
  <si>
    <t xml:space="preserve">TXN007</t>
  </si>
  <si>
    <t xml:space="preserve">2025-01-09 15:30</t>
  </si>
  <si>
    <t xml:space="preserve">Rejected</t>
  </si>
  <si>
    <t xml:space="preserve">Blacklisted vendor - fraud suspected</t>
  </si>
  <si>
    <t xml:space="preserve">Do not use this vendor again</t>
  </si>
  <si>
    <t xml:space="preserve">🚨 BLACKLIST</t>
  </si>
  <si>
    <t xml:space="preserve">Vendor in blacklist</t>
  </si>
  <si>
    <t xml:space="preserve">2025-01-08</t>
  </si>
  <si>
    <t xml:space="preserve">ReachInbox Annual Subscription</t>
  </si>
  <si>
    <t xml:space="preserve">ReachInbox</t>
  </si>
  <si>
    <t xml:space="preserve">https://drive.google.com/file/inv008</t>
  </si>
  <si>
    <t xml:space="preserve">TXN008</t>
  </si>
  <si>
    <t xml:space="preserve">2025-01-08 09:00</t>
  </si>
  <si>
    <t xml:space="preserve">2025-01-07</t>
  </si>
  <si>
    <t xml:space="preserve">Content</t>
  </si>
  <si>
    <t xml:space="preserve">Content Writer Payment - 10 articles</t>
  </si>
  <si>
    <t xml:space="preserve">Freelancer</t>
  </si>
  <si>
    <t xml:space="preserve">Blog Content</t>
  </si>
  <si>
    <t xml:space="preserve">Abhijit</t>
  </si>
  <si>
    <t xml:space="preserve">Jai</t>
  </si>
  <si>
    <t xml:space="preserve">https://drive.google.com/file/inv009</t>
  </si>
  <si>
    <t xml:space="preserve">TXN009</t>
  </si>
  <si>
    <t xml:space="preserve">2025-01-07 12:00</t>
  </si>
  <si>
    <t xml:space="preserve">2025-01-06</t>
  </si>
  <si>
    <t xml:space="preserve">Midjourney Duplicate Subscription</t>
  </si>
  <si>
    <t xml:space="preserve">Midjourney</t>
  </si>
  <si>
    <t xml:space="preserve">Design Assets</t>
  </si>
  <si>
    <t xml:space="preserve">Already have one account</t>
  </si>
  <si>
    <t xml:space="preserve">TXN010</t>
  </si>
  <si>
    <t xml:space="preserve">2025-01-06 14:00</t>
  </si>
  <si>
    <t xml:space="preserve">⚠️ KEYWORD</t>
  </si>
  <si>
    <t xml:space="preserve">Contains 'Duplicate'</t>
  </si>
  <si>
    <t xml:space="preserve">2025-01-05</t>
  </si>
  <si>
    <t xml:space="preserve">Blockchain Week Gold Sponsorship</t>
  </si>
  <si>
    <t xml:space="preserve">Blockchain Week</t>
  </si>
  <si>
    <t xml:space="preserve">Token2049 Event</t>
  </si>
  <si>
    <t xml:space="preserve">Booth + Branding</t>
  </si>
  <si>
    <t xml:space="preserve">https://drive.google.com/file/inv011</t>
  </si>
  <si>
    <t xml:space="preserve">TXN011</t>
  </si>
  <si>
    <t xml:space="preserve">2025-01-05 10:30</t>
  </si>
  <si>
    <t xml:space="preserve">2025-01-04</t>
  </si>
  <si>
    <t xml:space="preserve">Office</t>
  </si>
  <si>
    <t xml:space="preserve">Office Supplies - Stationery</t>
  </si>
  <si>
    <t xml:space="preserve">Amazon</t>
  </si>
  <si>
    <t xml:space="preserve">Kangana</t>
  </si>
  <si>
    <t xml:space="preserve">Ashwini</t>
  </si>
  <si>
    <t xml:space="preserve">https://drive.google.com/file/inv012</t>
  </si>
  <si>
    <t xml:space="preserve">TXN012</t>
  </si>
  <si>
    <t xml:space="preserve">2025-01-04 11:00</t>
  </si>
  <si>
    <t xml:space="preserve">For (Category)</t>
  </si>
  <si>
    <t xml:space="preserve">Team Members</t>
  </si>
  <si>
    <t xml:space="preserve">Status (Review)</t>
  </si>
  <si>
    <t xml:space="preserve">Wastage Flag (Review)</t>
  </si>
  <si>
    <t xml:space="preserve">Approvers</t>
  </si>
  <si>
    <t xml:space="preserve">Review</t>
  </si>
  <si>
    <t xml:space="preserve">Reimbursement</t>
  </si>
  <si>
    <t xml:space="preserve">Cash</t>
  </si>
  <si>
    <t xml:space="preserve">On Hold</t>
  </si>
  <si>
    <t xml:space="preserve">PayPal</t>
  </si>
  <si>
    <t xml:space="preserve">Cheque</t>
  </si>
  <si>
    <t xml:space="preserve">Miscellaneous</t>
  </si>
  <si>
    <t xml:space="preserve">Lakshya</t>
  </si>
  <si>
    <t xml:space="preserve">Roshan</t>
  </si>
  <si>
    <t xml:space="preserve">Jagruti</t>
  </si>
  <si>
    <t xml:space="preserve">Dhruv</t>
  </si>
  <si>
    <t xml:space="preserve">Pankaj</t>
  </si>
  <si>
    <t xml:space="preserve">TBP MEDIA - EXPENSE SUMMARY</t>
  </si>
  <si>
    <t xml:space="preserve">Dashboard data source - auto-calculated</t>
  </si>
  <si>
    <t xml:space="preserve">TOTALS</t>
  </si>
  <si>
    <t xml:space="preserve">Total Expenses (All)</t>
  </si>
  <si>
    <t xml:space="preserve">Approved Expenses</t>
  </si>
  <si>
    <t xml:space="preserve">Pending Review</t>
  </si>
  <si>
    <t xml:space="preserve">Transaction Count</t>
  </si>
  <si>
    <t xml:space="preserve">WASTAGE (Confirmed by Reviewer)</t>
  </si>
  <si>
    <t xml:space="preserve">Confirmed Wastage (₹)</t>
  </si>
  <si>
    <t xml:space="preserve">Wastage Count</t>
  </si>
  <si>
    <t xml:space="preserve">Needs Review (₹)</t>
  </si>
  <si>
    <t xml:space="preserve">AUTO-FLAGGED (Pending Review)</t>
  </si>
  <si>
    <t xml:space="preserve">Total Flagged</t>
  </si>
  <si>
    <t xml:space="preserve">High Value Flags</t>
  </si>
  <si>
    <t xml:space="preserve">Missing Invoice Flags</t>
  </si>
  <si>
    <t xml:space="preserve">Blacklist Flags</t>
  </si>
  <si>
    <t xml:space="preserve">BY CATEGORY (For)</t>
  </si>
  <si>
    <t xml:space="preserve">BY SOURCE</t>
  </si>
  <si>
    <t xml:space="preserve">MISSING INVOICES</t>
  </si>
  <si>
    <t xml:space="preserve">Count (Invoice empty)</t>
  </si>
  <si>
    <t xml:space="preserve">TALLY FORM → MASTER SHEET COLUMN MAPPING</t>
  </si>
  <si>
    <t xml:space="preserve">TALLY FIELD</t>
  </si>
  <si>
    <t xml:space="preserve">REQUIRED</t>
  </si>
  <si>
    <t xml:space="preserve">SHEET COLUMN</t>
  </si>
  <si>
    <t xml:space="preserve">✓</t>
  </si>
  <si>
    <t xml:space="preserve">A - Date</t>
  </si>
  <si>
    <t xml:space="preserve">B - Amount</t>
  </si>
  <si>
    <t xml:space="preserve">Payment Type (dropdown)</t>
  </si>
  <si>
    <t xml:space="preserve">C - Payment Type</t>
  </si>
  <si>
    <t xml:space="preserve">For (dropdown)</t>
  </si>
  <si>
    <t xml:space="preserve">D - For (Category)</t>
  </si>
  <si>
    <t xml:space="preserve">E - Particular (Description)</t>
  </si>
  <si>
    <t xml:space="preserve">F - Platform (Vendor)</t>
  </si>
  <si>
    <t xml:space="preserve">G - Project</t>
  </si>
  <si>
    <t xml:space="preserve">H - Notes</t>
  </si>
  <si>
    <t xml:space="preserve">Source (dropdown)</t>
  </si>
  <si>
    <t xml:space="preserve">I - Source</t>
  </si>
  <si>
    <t xml:space="preserve">Transaction Done by (dropdown)</t>
  </si>
  <si>
    <t xml:space="preserve">J - Transaction Done by</t>
  </si>
  <si>
    <t xml:space="preserve">Asked by (dropdown)</t>
  </si>
  <si>
    <t xml:space="preserve">K - Asked by</t>
  </si>
  <si>
    <t xml:space="preserve">File upload</t>
  </si>
  <si>
    <t xml:space="preserve">L - Invoice File (as link)</t>
  </si>
  <si>
    <t xml:space="preserve">Email</t>
  </si>
  <si>
    <t xml:space="preserve">(For notifications only)</t>
  </si>
  <si>
    <t xml:space="preserve">AUTO-FILLED COLUMNS (System generates):</t>
  </si>
  <si>
    <t xml:space="preserve">M - ID (auto-increment)</t>
  </si>
  <si>
    <t xml:space="preserve">N - Submitted At (timestamp)</t>
  </si>
  <si>
    <t xml:space="preserve">O - Month (from Date)</t>
  </si>
  <si>
    <t xml:space="preserve">P - Quarter (from Date)</t>
  </si>
  <si>
    <t xml:space="preserve">W - Auto-Flag (formula)</t>
  </si>
  <si>
    <t xml:space="preserve">X - Flag Reason (formula)</t>
  </si>
  <si>
    <t xml:space="preserve">REVIEW COLUMNS (Manager fills LATER):</t>
  </si>
  <si>
    <t xml:space="preserve">Q - Status (Pending/Approved/Rejected)</t>
  </si>
  <si>
    <t xml:space="preserve">R - Wastage Flag (OK/Review/Wastage)</t>
  </si>
  <si>
    <t xml:space="preserve">S - Wastage Reason</t>
  </si>
  <si>
    <t xml:space="preserve">T - Approved By</t>
  </si>
  <si>
    <t xml:space="preserve">U - Review Date</t>
  </si>
  <si>
    <t xml:space="preserve">V - Reviewer Notes</t>
  </si>
  <si>
    <t xml:space="preserve">AUTO-FLAG RULES (Column W)</t>
  </si>
  <si>
    <t xml:space="preserve">These formulas SUGGEST potential issues - Reviewer makes final decision</t>
  </si>
  <si>
    <t xml:space="preserve">FLAG</t>
  </si>
  <si>
    <t xml:space="preserve">CONDITION</t>
  </si>
  <si>
    <t xml:space="preserve">Platform (F) matches blacklisted vendor</t>
  </si>
  <si>
    <t xml:space="preserve">Amount (B) &gt; ₹1,00,000</t>
  </si>
  <si>
    <t xml:space="preserve">Amount (B) &gt; ₹50,000</t>
  </si>
  <si>
    <t xml:space="preserve">Invoice File (L) is empty</t>
  </si>
  <si>
    <t xml:space="preserve">Particular (E) contains: duplicate, unused, fraud, cancelled, refund</t>
  </si>
  <si>
    <t xml:space="preserve">⚠️ PERSONAL HIGH</t>
  </si>
  <si>
    <t xml:space="preserve">Source = 'Personal' AND Amount &gt; ₹25,000</t>
  </si>
  <si>
    <t xml:space="preserve">No issues detected</t>
  </si>
  <si>
    <t xml:space="preserve">BLACKLISTED VENDORS (add as identified):</t>
  </si>
  <si>
    <t xml:space="preserve">Fraud reported Jan 2025</t>
  </si>
  <si>
    <t xml:space="preserve">FORMULA EXAMPLE (for Column W):</t>
  </si>
  <si>
    <t xml:space="preserve">EXPENSE REVIEW WORKFLOW</t>
  </si>
  <si>
    <t xml:space="preserve">STEP 1: SUBMISSION</t>
  </si>
  <si>
    <t xml:space="preserve">Team member fills Tally form → Data flows to Transactions sheet (A-L)</t>
  </si>
  <si>
    <t xml:space="preserve">System auto-generates: ID, Timestamp, Month, Quarter (M-P)</t>
  </si>
  <si>
    <t xml:space="preserve">System auto-flags potential issues (W-X)</t>
  </si>
  <si>
    <t xml:space="preserve">Status auto-set to 'Pending'</t>
  </si>
  <si>
    <t xml:space="preserve">STEP 2: MANAGER/ACCOUNTS REVIEW</t>
  </si>
  <si>
    <t xml:space="preserve">Filter: Status = 'Pending'</t>
  </si>
  <si>
    <t xml:space="preserve">Sort by: Auto-Flag column to see flagged items first</t>
  </si>
  <si>
    <t xml:space="preserve">For each expense, fill columns Q-V:</t>
  </si>
  <si>
    <t xml:space="preserve">  Q - Status: Approve / Reject / On Hold</t>
  </si>
  <si>
    <t xml:space="preserve">  R - Wastage Flag: OK / Review / Wastage</t>
  </si>
  <si>
    <t xml:space="preserve">  S - Wastage Reason: Why it's wastage (if applicable)</t>
  </si>
  <si>
    <t xml:space="preserve">  T - Approved By: Your name</t>
  </si>
  <si>
    <t xml:space="preserve">  U - Review Date: Today</t>
  </si>
  <si>
    <t xml:space="preserve">  V - Reviewer Notes: Any comments</t>
  </si>
  <si>
    <t xml:space="preserve">REVIEW PRIORITY:</t>
  </si>
  <si>
    <t xml:space="preserve">1. 🚨 Red flags first (blacklisted vendors, very high value)</t>
  </si>
  <si>
    <t xml:space="preserve">2. ⚠️ Yellow flags next (high value, missing invoice, keywords)</t>
  </si>
  <si>
    <t xml:space="preserve">3. OK items last (routine approval)</t>
  </si>
  <si>
    <t xml:space="preserve">STEP 3: DASHBOARD UPDATE</t>
  </si>
  <si>
    <t xml:space="preserve">Dashboard reads from Summary sheet</t>
  </si>
  <si>
    <t xml:space="preserve">Shows CONFIRMED wastage (from column R), not auto-flags</t>
  </si>
  <si>
    <t xml:space="preserve">Founder sees reviewed, final numbers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</si>
</sst>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0"/>
      <color rgb="FF1F2937"/>
      <name val="Cambria"/>
      <family val="0"/>
      <charset val="1"/>
    </font>
    <font>
      <b val="true"/>
      <sz val="16"/>
      <name val="Cambria"/>
      <family val="0"/>
      <charset val="1"/>
    </font>
    <font>
      <sz val="1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FCE7"/>
        <bgColor rgb="FFD1FAE5"/>
      </patternFill>
    </fill>
    <fill>
      <patternFill patternType="solid">
        <fgColor rgb="FFDBEAFE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CFCE7"/>
      </patternFill>
    </fill>
    <fill>
      <patternFill patternType="solid">
        <fgColor rgb="FFFECACA"/>
        <bgColor rgb="FFFEE2E2"/>
      </patternFill>
    </fill>
    <fill>
      <patternFill patternType="solid">
        <fgColor rgb="FFE5E7EB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5E7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E2E2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35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6" min="15" style="0" width="8"/>
    <col collapsed="false" customWidth="true" hidden="false" outlineLevel="0" max="18" min="17" style="0" width="12"/>
    <col collapsed="false" customWidth="true" hidden="false" outlineLevel="0" max="19" min="19" style="0" width="30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30"/>
    <col collapsed="false" customWidth="true" hidden="false" outlineLevel="0" max="23" min="23" style="0" width="14"/>
    <col collapsed="false" customWidth="true" hidden="false" outlineLevel="0" max="24" min="24" style="0" width="3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/>
      <c r="P1" s="2"/>
      <c r="Q1" s="3" t="s">
        <v>2</v>
      </c>
      <c r="R1" s="3"/>
      <c r="S1" s="3"/>
      <c r="T1" s="3"/>
      <c r="U1" s="3"/>
      <c r="V1" s="3"/>
      <c r="W1" s="4" t="s">
        <v>3</v>
      </c>
      <c r="X1" s="4"/>
    </row>
    <row r="2" customFormat="false" ht="30" hidden="false" customHeight="true" outlineLevel="0" collapsed="false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7" t="s">
        <v>25</v>
      </c>
      <c r="W2" s="8" t="s">
        <v>26</v>
      </c>
      <c r="X2" s="8" t="s">
        <v>27</v>
      </c>
    </row>
    <row r="3" customFormat="false" ht="15" hidden="false" customHeight="false" outlineLevel="0" collapsed="false">
      <c r="A3" s="9" t="s">
        <v>28</v>
      </c>
      <c r="B3" s="9" t="n">
        <v>152000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  <c r="H3" s="9"/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10" t="s">
        <v>42</v>
      </c>
      <c r="R3" s="10" t="s">
        <v>43</v>
      </c>
      <c r="S3" s="9"/>
      <c r="T3" s="9" t="s">
        <v>36</v>
      </c>
      <c r="U3" s="9" t="s">
        <v>44</v>
      </c>
      <c r="V3" s="9"/>
      <c r="W3" s="10" t="s">
        <v>43</v>
      </c>
      <c r="X3" s="9"/>
    </row>
    <row r="4" customFormat="false" ht="15" hidden="false" customHeight="false" outlineLevel="0" collapsed="false">
      <c r="A4" s="9" t="s">
        <v>45</v>
      </c>
      <c r="B4" s="9" t="n">
        <v>85000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  <c r="H4" s="9" t="s">
        <v>51</v>
      </c>
      <c r="I4" s="9" t="s">
        <v>34</v>
      </c>
      <c r="J4" s="9" t="s">
        <v>36</v>
      </c>
      <c r="K4" s="9" t="s">
        <v>36</v>
      </c>
      <c r="L4" s="9" t="s">
        <v>52</v>
      </c>
      <c r="M4" s="9" t="s">
        <v>53</v>
      </c>
      <c r="N4" s="9" t="s">
        <v>54</v>
      </c>
      <c r="O4" s="9" t="s">
        <v>40</v>
      </c>
      <c r="P4" s="9" t="s">
        <v>41</v>
      </c>
      <c r="Q4" s="10" t="s">
        <v>42</v>
      </c>
      <c r="R4" s="10" t="s">
        <v>43</v>
      </c>
      <c r="S4" s="9"/>
      <c r="T4" s="9" t="s">
        <v>36</v>
      </c>
      <c r="U4" s="9" t="s">
        <v>45</v>
      </c>
      <c r="V4" s="9"/>
      <c r="W4" s="11" t="s">
        <v>55</v>
      </c>
      <c r="X4" s="9" t="s">
        <v>56</v>
      </c>
    </row>
    <row r="5" customFormat="false" ht="15" hidden="false" customHeight="false" outlineLevel="0" collapsed="false">
      <c r="A5" s="9" t="s">
        <v>57</v>
      </c>
      <c r="B5" s="9" t="n">
        <v>45000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  <c r="H5" s="9"/>
      <c r="I5" s="9" t="s">
        <v>34</v>
      </c>
      <c r="J5" s="9" t="s">
        <v>35</v>
      </c>
      <c r="K5" s="9" t="s">
        <v>63</v>
      </c>
      <c r="L5" s="9" t="s">
        <v>64</v>
      </c>
      <c r="M5" s="9" t="s">
        <v>65</v>
      </c>
      <c r="N5" s="9" t="s">
        <v>66</v>
      </c>
      <c r="O5" s="9" t="s">
        <v>40</v>
      </c>
      <c r="P5" s="9" t="s">
        <v>41</v>
      </c>
      <c r="Q5" s="10" t="s">
        <v>42</v>
      </c>
      <c r="R5" s="10" t="s">
        <v>43</v>
      </c>
      <c r="S5" s="9"/>
      <c r="T5" s="9" t="s">
        <v>35</v>
      </c>
      <c r="U5" s="9" t="s">
        <v>45</v>
      </c>
      <c r="V5" s="9"/>
      <c r="W5" s="10" t="s">
        <v>43</v>
      </c>
      <c r="X5" s="9"/>
    </row>
    <row r="6" customFormat="false" ht="15" hidden="false" customHeight="false" outlineLevel="0" collapsed="false">
      <c r="A6" s="9" t="s">
        <v>67</v>
      </c>
      <c r="B6" s="9" t="n">
        <v>1147500</v>
      </c>
      <c r="C6" s="9" t="s">
        <v>29</v>
      </c>
      <c r="D6" s="9" t="s">
        <v>68</v>
      </c>
      <c r="E6" s="9" t="s">
        <v>69</v>
      </c>
      <c r="F6" s="9" t="s">
        <v>70</v>
      </c>
      <c r="G6" s="9" t="s">
        <v>71</v>
      </c>
      <c r="H6" s="9" t="s">
        <v>72</v>
      </c>
      <c r="I6" s="9" t="s">
        <v>34</v>
      </c>
      <c r="J6" s="9" t="s">
        <v>73</v>
      </c>
      <c r="K6" s="9" t="s">
        <v>35</v>
      </c>
      <c r="L6" s="9" t="s">
        <v>74</v>
      </c>
      <c r="M6" s="9" t="s">
        <v>75</v>
      </c>
      <c r="N6" s="9" t="s">
        <v>76</v>
      </c>
      <c r="O6" s="9" t="s">
        <v>40</v>
      </c>
      <c r="P6" s="9" t="s">
        <v>41</v>
      </c>
      <c r="Q6" s="10" t="s">
        <v>42</v>
      </c>
      <c r="R6" s="12" t="s">
        <v>77</v>
      </c>
      <c r="S6" s="9" t="s">
        <v>78</v>
      </c>
      <c r="T6" s="9" t="s">
        <v>36</v>
      </c>
      <c r="U6" s="9" t="s">
        <v>57</v>
      </c>
      <c r="V6" s="9" t="s">
        <v>79</v>
      </c>
      <c r="W6" s="12" t="s">
        <v>80</v>
      </c>
      <c r="X6" s="9" t="s">
        <v>81</v>
      </c>
    </row>
    <row r="7" customFormat="false" ht="15" hidden="false" customHeight="false" outlineLevel="0" collapsed="false">
      <c r="A7" s="9" t="s">
        <v>82</v>
      </c>
      <c r="B7" s="9" t="n">
        <v>45000</v>
      </c>
      <c r="C7" s="9" t="s">
        <v>83</v>
      </c>
      <c r="D7" s="9" t="s">
        <v>84</v>
      </c>
      <c r="E7" s="9" t="s">
        <v>85</v>
      </c>
      <c r="F7" s="9" t="s">
        <v>86</v>
      </c>
      <c r="G7" s="9" t="s">
        <v>87</v>
      </c>
      <c r="H7" s="9" t="s">
        <v>88</v>
      </c>
      <c r="I7" s="9" t="s">
        <v>34</v>
      </c>
      <c r="J7" s="9" t="s">
        <v>89</v>
      </c>
      <c r="K7" s="9" t="s">
        <v>35</v>
      </c>
      <c r="L7" s="9"/>
      <c r="M7" s="9" t="s">
        <v>90</v>
      </c>
      <c r="N7" s="9" t="s">
        <v>91</v>
      </c>
      <c r="O7" s="9" t="s">
        <v>40</v>
      </c>
      <c r="P7" s="9" t="s">
        <v>41</v>
      </c>
      <c r="Q7" s="11" t="s">
        <v>92</v>
      </c>
      <c r="R7" s="13"/>
      <c r="S7" s="9"/>
      <c r="T7" s="9"/>
      <c r="U7" s="9"/>
      <c r="V7" s="9"/>
      <c r="W7" s="11" t="s">
        <v>93</v>
      </c>
      <c r="X7" s="9" t="s">
        <v>94</v>
      </c>
    </row>
    <row r="8" customFormat="false" ht="15" hidden="false" customHeight="false" outlineLevel="0" collapsed="false">
      <c r="A8" s="9" t="s">
        <v>95</v>
      </c>
      <c r="B8" s="9" t="n">
        <v>25000</v>
      </c>
      <c r="C8" s="9" t="s">
        <v>46</v>
      </c>
      <c r="D8" s="9" t="s">
        <v>96</v>
      </c>
      <c r="E8" s="9" t="s">
        <v>97</v>
      </c>
      <c r="F8" s="9" t="s">
        <v>98</v>
      </c>
      <c r="G8" s="9" t="s">
        <v>99</v>
      </c>
      <c r="H8" s="9" t="s">
        <v>100</v>
      </c>
      <c r="I8" s="9" t="s">
        <v>34</v>
      </c>
      <c r="J8" s="9" t="s">
        <v>101</v>
      </c>
      <c r="K8" s="9" t="s">
        <v>35</v>
      </c>
      <c r="L8" s="9" t="s">
        <v>102</v>
      </c>
      <c r="M8" s="9" t="s">
        <v>103</v>
      </c>
      <c r="N8" s="9" t="s">
        <v>104</v>
      </c>
      <c r="O8" s="9" t="s">
        <v>40</v>
      </c>
      <c r="P8" s="9" t="s">
        <v>41</v>
      </c>
      <c r="Q8" s="10" t="s">
        <v>42</v>
      </c>
      <c r="R8" s="10" t="s">
        <v>43</v>
      </c>
      <c r="S8" s="9"/>
      <c r="T8" s="9" t="s">
        <v>35</v>
      </c>
      <c r="U8" s="9" t="s">
        <v>82</v>
      </c>
      <c r="V8" s="9"/>
      <c r="W8" s="10" t="s">
        <v>43</v>
      </c>
      <c r="X8" s="9"/>
    </row>
    <row r="9" customFormat="false" ht="15" hidden="false" customHeight="false" outlineLevel="0" collapsed="false">
      <c r="A9" s="9" t="s">
        <v>105</v>
      </c>
      <c r="B9" s="9" t="n">
        <v>12750</v>
      </c>
      <c r="C9" s="9" t="s">
        <v>83</v>
      </c>
      <c r="D9" s="9" t="s">
        <v>84</v>
      </c>
      <c r="E9" s="9" t="s">
        <v>106</v>
      </c>
      <c r="F9" s="9" t="s">
        <v>107</v>
      </c>
      <c r="G9" s="9" t="s">
        <v>108</v>
      </c>
      <c r="H9" s="9" t="s">
        <v>109</v>
      </c>
      <c r="I9" s="9" t="s">
        <v>110</v>
      </c>
      <c r="J9" s="9" t="s">
        <v>111</v>
      </c>
      <c r="K9" s="9" t="s">
        <v>112</v>
      </c>
      <c r="L9" s="9"/>
      <c r="M9" s="9" t="s">
        <v>113</v>
      </c>
      <c r="N9" s="9" t="s">
        <v>114</v>
      </c>
      <c r="O9" s="9" t="s">
        <v>40</v>
      </c>
      <c r="P9" s="9" t="s">
        <v>41</v>
      </c>
      <c r="Q9" s="12" t="s">
        <v>115</v>
      </c>
      <c r="R9" s="12" t="s">
        <v>77</v>
      </c>
      <c r="S9" s="9" t="s">
        <v>116</v>
      </c>
      <c r="T9" s="9" t="s">
        <v>36</v>
      </c>
      <c r="U9" s="9" t="s">
        <v>95</v>
      </c>
      <c r="V9" s="9" t="s">
        <v>117</v>
      </c>
      <c r="W9" s="12" t="s">
        <v>118</v>
      </c>
      <c r="X9" s="9" t="s">
        <v>119</v>
      </c>
    </row>
    <row r="10" customFormat="false" ht="15" hidden="false" customHeight="false" outlineLevel="0" collapsed="false">
      <c r="A10" s="9" t="s">
        <v>120</v>
      </c>
      <c r="B10" s="9" t="n">
        <v>15000</v>
      </c>
      <c r="C10" s="9" t="s">
        <v>58</v>
      </c>
      <c r="D10" s="9" t="s">
        <v>96</v>
      </c>
      <c r="E10" s="9" t="s">
        <v>121</v>
      </c>
      <c r="F10" s="9" t="s">
        <v>122</v>
      </c>
      <c r="G10" s="9" t="s">
        <v>71</v>
      </c>
      <c r="H10" s="9"/>
      <c r="I10" s="9" t="s">
        <v>34</v>
      </c>
      <c r="J10" s="9" t="s">
        <v>73</v>
      </c>
      <c r="K10" s="9" t="s">
        <v>35</v>
      </c>
      <c r="L10" s="9" t="s">
        <v>123</v>
      </c>
      <c r="M10" s="9" t="s">
        <v>124</v>
      </c>
      <c r="N10" s="9" t="s">
        <v>125</v>
      </c>
      <c r="O10" s="9" t="s">
        <v>40</v>
      </c>
      <c r="P10" s="9" t="s">
        <v>41</v>
      </c>
      <c r="Q10" s="10" t="s">
        <v>42</v>
      </c>
      <c r="R10" s="10" t="s">
        <v>43</v>
      </c>
      <c r="S10" s="9"/>
      <c r="T10" s="9" t="s">
        <v>35</v>
      </c>
      <c r="U10" s="9" t="s">
        <v>105</v>
      </c>
      <c r="V10" s="9"/>
      <c r="W10" s="10" t="s">
        <v>43</v>
      </c>
      <c r="X10" s="9"/>
    </row>
    <row r="11" customFormat="false" ht="15" hidden="false" customHeight="false" outlineLevel="0" collapsed="false">
      <c r="A11" s="9" t="s">
        <v>126</v>
      </c>
      <c r="B11" s="9" t="n">
        <v>18000</v>
      </c>
      <c r="C11" s="9" t="s">
        <v>29</v>
      </c>
      <c r="D11" s="9" t="s">
        <v>127</v>
      </c>
      <c r="E11" s="9" t="s">
        <v>128</v>
      </c>
      <c r="F11" s="9" t="s">
        <v>129</v>
      </c>
      <c r="G11" s="9" t="s">
        <v>130</v>
      </c>
      <c r="H11" s="9"/>
      <c r="I11" s="9" t="s">
        <v>34</v>
      </c>
      <c r="J11" s="9" t="s">
        <v>131</v>
      </c>
      <c r="K11" s="9" t="s">
        <v>132</v>
      </c>
      <c r="L11" s="9" t="s">
        <v>133</v>
      </c>
      <c r="M11" s="9" t="s">
        <v>134</v>
      </c>
      <c r="N11" s="9" t="s">
        <v>135</v>
      </c>
      <c r="O11" s="9" t="s">
        <v>40</v>
      </c>
      <c r="P11" s="9" t="s">
        <v>41</v>
      </c>
      <c r="Q11" s="10" t="s">
        <v>42</v>
      </c>
      <c r="R11" s="10" t="s">
        <v>43</v>
      </c>
      <c r="S11" s="9"/>
      <c r="T11" s="9" t="s">
        <v>35</v>
      </c>
      <c r="U11" s="9" t="s">
        <v>120</v>
      </c>
      <c r="V11" s="9"/>
      <c r="W11" s="10" t="s">
        <v>43</v>
      </c>
      <c r="X11" s="9"/>
    </row>
    <row r="12" customFormat="false" ht="15" hidden="false" customHeight="false" outlineLevel="0" collapsed="false">
      <c r="A12" s="9" t="s">
        <v>136</v>
      </c>
      <c r="B12" s="9" t="n">
        <v>8500</v>
      </c>
      <c r="C12" s="9" t="s">
        <v>46</v>
      </c>
      <c r="D12" s="9" t="s">
        <v>96</v>
      </c>
      <c r="E12" s="9" t="s">
        <v>137</v>
      </c>
      <c r="F12" s="9" t="s">
        <v>138</v>
      </c>
      <c r="G12" s="9" t="s">
        <v>139</v>
      </c>
      <c r="H12" s="9" t="s">
        <v>140</v>
      </c>
      <c r="I12" s="9" t="s">
        <v>110</v>
      </c>
      <c r="J12" s="9" t="s">
        <v>132</v>
      </c>
      <c r="K12" s="9" t="s">
        <v>131</v>
      </c>
      <c r="L12" s="9"/>
      <c r="M12" s="9" t="s">
        <v>141</v>
      </c>
      <c r="N12" s="9" t="s">
        <v>142</v>
      </c>
      <c r="O12" s="9" t="s">
        <v>40</v>
      </c>
      <c r="P12" s="9" t="s">
        <v>41</v>
      </c>
      <c r="Q12" s="11" t="s">
        <v>92</v>
      </c>
      <c r="R12" s="13"/>
      <c r="S12" s="9"/>
      <c r="T12" s="9"/>
      <c r="U12" s="9"/>
      <c r="V12" s="9"/>
      <c r="W12" s="11" t="s">
        <v>143</v>
      </c>
      <c r="X12" s="9" t="s">
        <v>144</v>
      </c>
    </row>
    <row r="13" customFormat="false" ht="15" hidden="false" customHeight="false" outlineLevel="0" collapsed="false">
      <c r="A13" s="9" t="s">
        <v>145</v>
      </c>
      <c r="B13" s="9" t="n">
        <v>200000</v>
      </c>
      <c r="C13" s="9" t="s">
        <v>29</v>
      </c>
      <c r="D13" s="9" t="s">
        <v>59</v>
      </c>
      <c r="E13" s="9" t="s">
        <v>146</v>
      </c>
      <c r="F13" s="9" t="s">
        <v>147</v>
      </c>
      <c r="G13" s="9" t="s">
        <v>148</v>
      </c>
      <c r="H13" s="9" t="s">
        <v>149</v>
      </c>
      <c r="I13" s="9" t="s">
        <v>34</v>
      </c>
      <c r="J13" s="9" t="s">
        <v>63</v>
      </c>
      <c r="K13" s="9" t="s">
        <v>36</v>
      </c>
      <c r="L13" s="9" t="s">
        <v>150</v>
      </c>
      <c r="M13" s="9" t="s">
        <v>151</v>
      </c>
      <c r="N13" s="9" t="s">
        <v>152</v>
      </c>
      <c r="O13" s="9" t="s">
        <v>40</v>
      </c>
      <c r="P13" s="9" t="s">
        <v>41</v>
      </c>
      <c r="Q13" s="10" t="s">
        <v>42</v>
      </c>
      <c r="R13" s="10" t="s">
        <v>43</v>
      </c>
      <c r="S13" s="9"/>
      <c r="T13" s="9" t="s">
        <v>36</v>
      </c>
      <c r="U13" s="9" t="s">
        <v>145</v>
      </c>
      <c r="V13" s="9"/>
      <c r="W13" s="12" t="s">
        <v>80</v>
      </c>
      <c r="X13" s="9" t="s">
        <v>81</v>
      </c>
    </row>
    <row r="14" customFormat="false" ht="15" hidden="false" customHeight="false" outlineLevel="0" collapsed="false">
      <c r="A14" s="9" t="s">
        <v>153</v>
      </c>
      <c r="B14" s="9" t="n">
        <v>5500</v>
      </c>
      <c r="C14" s="9" t="s">
        <v>58</v>
      </c>
      <c r="D14" s="9" t="s">
        <v>154</v>
      </c>
      <c r="E14" s="9" t="s">
        <v>155</v>
      </c>
      <c r="F14" s="9" t="s">
        <v>156</v>
      </c>
      <c r="G14" s="9" t="s">
        <v>154</v>
      </c>
      <c r="H14" s="9"/>
      <c r="I14" s="9" t="s">
        <v>34</v>
      </c>
      <c r="J14" s="9" t="s">
        <v>157</v>
      </c>
      <c r="K14" s="9" t="s">
        <v>158</v>
      </c>
      <c r="L14" s="9" t="s">
        <v>159</v>
      </c>
      <c r="M14" s="9" t="s">
        <v>160</v>
      </c>
      <c r="N14" s="9" t="s">
        <v>161</v>
      </c>
      <c r="O14" s="9" t="s">
        <v>40</v>
      </c>
      <c r="P14" s="9" t="s">
        <v>41</v>
      </c>
      <c r="Q14" s="10" t="s">
        <v>42</v>
      </c>
      <c r="R14" s="10" t="s">
        <v>43</v>
      </c>
      <c r="S14" s="9"/>
      <c r="T14" s="9" t="s">
        <v>158</v>
      </c>
      <c r="U14" s="9" t="s">
        <v>153</v>
      </c>
      <c r="V14" s="9"/>
      <c r="W14" s="10" t="s">
        <v>43</v>
      </c>
      <c r="X14" s="9"/>
    </row>
  </sheetData>
  <mergeCells count="4">
    <mergeCell ref="A1:L1"/>
    <mergeCell ref="M1:P1"/>
    <mergeCell ref="Q1:V1"/>
    <mergeCell ref="W1:X1"/>
  </mergeCells>
  <dataValidations count="8">
    <dataValidation allowBlank="true" errorStyle="stop" operator="between" showDropDown="false" showErrorMessage="false" showInputMessage="false" sqref="C3:C1000" type="list">
      <formula1>Dropdowns!$A$2:$A$8</formula1>
      <formula2>0</formula2>
    </dataValidation>
    <dataValidation allowBlank="true" errorStyle="stop" operator="between" showDropDown="false" showErrorMessage="false" showInputMessage="false" sqref="D3:D1000" type="list">
      <formula1>Dropdowns!$B$2:$B$10</formula1>
      <formula2>0</formula2>
    </dataValidation>
    <dataValidation allowBlank="true" errorStyle="stop" operator="between" showDropDown="false" showErrorMessage="false" showInputMessage="false" sqref="I3:I1000" type="list">
      <formula1>Dropdowns!$C$2:$C$4</formula1>
      <formula2>0</formula2>
    </dataValidation>
    <dataValidation allowBlank="true" errorStyle="stop" operator="between" showDropDown="false" showErrorMessage="false" showInputMessage="false" sqref="J3:J1000" type="list">
      <formula1>Dropdowns!$D$2:$D$18</formula1>
      <formula2>0</formula2>
    </dataValidation>
    <dataValidation allowBlank="true" errorStyle="stop" operator="between" showDropDown="false" showErrorMessage="false" showInputMessage="false" sqref="K3:K1000" type="list">
      <formula1>Dropdowns!$D$2:$D$18</formula1>
      <formula2>0</formula2>
    </dataValidation>
    <dataValidation allowBlank="true" errorStyle="stop" operator="between" showDropDown="false" showErrorMessage="false" showInputMessage="false" sqref="Q3:Q1000" type="list">
      <formula1>Dropdowns!$E$2:$E$5</formula1>
      <formula2>0</formula2>
    </dataValidation>
    <dataValidation allowBlank="true" errorStyle="stop" operator="between" showDropDown="false" showErrorMessage="false" showInputMessage="false" sqref="R3:R1000" type="list">
      <formula1>Dropdowns!$F$2:$F$4</formula1>
      <formula2>0</formula2>
    </dataValidation>
    <dataValidation allowBlank="true" errorStyle="stop" operator="between" showDropDown="false" showErrorMessage="false" showInputMessage="false" sqref="T3:T1000" type="list">
      <formula1>Dropdowns!$G$2:$G$5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4" t="s">
        <v>6</v>
      </c>
      <c r="B1" s="14" t="s">
        <v>162</v>
      </c>
      <c r="C1" s="14" t="s">
        <v>12</v>
      </c>
      <c r="D1" s="14" t="s">
        <v>163</v>
      </c>
      <c r="E1" s="14" t="s">
        <v>164</v>
      </c>
      <c r="F1" s="14" t="s">
        <v>165</v>
      </c>
      <c r="G1" s="14" t="s">
        <v>166</v>
      </c>
    </row>
    <row r="2" customFormat="false" ht="15" hidden="false" customHeight="false" outlineLevel="0" collapsed="false">
      <c r="A2" s="0" t="s">
        <v>58</v>
      </c>
      <c r="B2" s="0" t="s">
        <v>30</v>
      </c>
      <c r="C2" s="0" t="s">
        <v>34</v>
      </c>
      <c r="D2" s="0" t="s">
        <v>36</v>
      </c>
      <c r="E2" s="0" t="s">
        <v>92</v>
      </c>
      <c r="F2" s="0" t="s">
        <v>43</v>
      </c>
      <c r="G2" s="0" t="s">
        <v>36</v>
      </c>
    </row>
    <row r="3" customFormat="false" ht="15" hidden="false" customHeight="false" outlineLevel="0" collapsed="false">
      <c r="A3" s="0" t="s">
        <v>29</v>
      </c>
      <c r="B3" s="0" t="s">
        <v>47</v>
      </c>
      <c r="C3" s="0" t="s">
        <v>110</v>
      </c>
      <c r="D3" s="0" t="s">
        <v>63</v>
      </c>
      <c r="E3" s="0" t="s">
        <v>42</v>
      </c>
      <c r="F3" s="0" t="s">
        <v>167</v>
      </c>
      <c r="G3" s="0" t="s">
        <v>35</v>
      </c>
    </row>
    <row r="4" customFormat="false" ht="15" hidden="false" customHeight="false" outlineLevel="0" collapsed="false">
      <c r="A4" s="0" t="s">
        <v>46</v>
      </c>
      <c r="B4" s="0" t="s">
        <v>59</v>
      </c>
      <c r="C4" s="0" t="s">
        <v>168</v>
      </c>
      <c r="D4" s="0" t="s">
        <v>35</v>
      </c>
      <c r="E4" s="0" t="s">
        <v>115</v>
      </c>
      <c r="F4" s="0" t="s">
        <v>77</v>
      </c>
      <c r="G4" s="0" t="s">
        <v>158</v>
      </c>
    </row>
    <row r="5" customFormat="false" ht="15" hidden="false" customHeight="false" outlineLevel="0" collapsed="false">
      <c r="A5" s="0" t="s">
        <v>169</v>
      </c>
      <c r="B5" s="0" t="s">
        <v>96</v>
      </c>
      <c r="D5" s="0" t="s">
        <v>73</v>
      </c>
      <c r="E5" s="0" t="s">
        <v>170</v>
      </c>
      <c r="G5" s="0" t="s">
        <v>63</v>
      </c>
    </row>
    <row r="6" customFormat="false" ht="15" hidden="false" customHeight="false" outlineLevel="0" collapsed="false">
      <c r="A6" s="0" t="s">
        <v>171</v>
      </c>
      <c r="B6" s="0" t="s">
        <v>84</v>
      </c>
      <c r="D6" s="0" t="s">
        <v>112</v>
      </c>
    </row>
    <row r="7" customFormat="false" ht="15" hidden="false" customHeight="false" outlineLevel="0" collapsed="false">
      <c r="A7" s="0" t="s">
        <v>83</v>
      </c>
      <c r="B7" s="0" t="s">
        <v>68</v>
      </c>
      <c r="D7" s="0" t="s">
        <v>111</v>
      </c>
    </row>
    <row r="8" customFormat="false" ht="15" hidden="false" customHeight="false" outlineLevel="0" collapsed="false">
      <c r="A8" s="0" t="s">
        <v>172</v>
      </c>
      <c r="B8" s="0" t="s">
        <v>127</v>
      </c>
      <c r="D8" s="0" t="s">
        <v>89</v>
      </c>
    </row>
    <row r="9" customFormat="false" ht="15" hidden="false" customHeight="false" outlineLevel="0" collapsed="false">
      <c r="B9" s="0" t="s">
        <v>154</v>
      </c>
      <c r="D9" s="0" t="s">
        <v>101</v>
      </c>
    </row>
    <row r="10" customFormat="false" ht="15" hidden="false" customHeight="false" outlineLevel="0" collapsed="false">
      <c r="B10" s="0" t="s">
        <v>173</v>
      </c>
      <c r="D10" s="0" t="s">
        <v>174</v>
      </c>
    </row>
    <row r="11" customFormat="false" ht="15" hidden="false" customHeight="false" outlineLevel="0" collapsed="false">
      <c r="D11" s="0" t="s">
        <v>175</v>
      </c>
    </row>
    <row r="12" customFormat="false" ht="15" hidden="false" customHeight="false" outlineLevel="0" collapsed="false">
      <c r="D12" s="0" t="s">
        <v>176</v>
      </c>
    </row>
    <row r="13" customFormat="false" ht="15" hidden="false" customHeight="false" outlineLevel="0" collapsed="false">
      <c r="D13" s="0" t="s">
        <v>177</v>
      </c>
    </row>
    <row r="14" customFormat="false" ht="15" hidden="false" customHeight="false" outlineLevel="0" collapsed="false">
      <c r="D14" s="0" t="s">
        <v>131</v>
      </c>
    </row>
    <row r="15" customFormat="false" ht="15" hidden="false" customHeight="false" outlineLevel="0" collapsed="false">
      <c r="D15" s="0" t="s">
        <v>132</v>
      </c>
    </row>
    <row r="16" customFormat="false" ht="15" hidden="false" customHeight="false" outlineLevel="0" collapsed="false">
      <c r="D16" s="0" t="s">
        <v>178</v>
      </c>
    </row>
    <row r="17" customFormat="false" ht="15" hidden="false" customHeight="false" outlineLevel="0" collapsed="false">
      <c r="D17" s="0" t="s">
        <v>158</v>
      </c>
    </row>
    <row r="18" customFormat="false" ht="15" hidden="false" customHeight="false" outlineLevel="0" collapsed="false">
      <c r="D18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5" t="s">
        <v>179</v>
      </c>
      <c r="B1" s="16"/>
    </row>
    <row r="2" customFormat="false" ht="15" hidden="false" customHeight="false" outlineLevel="0" collapsed="false">
      <c r="A2" s="17" t="s">
        <v>180</v>
      </c>
    </row>
    <row r="3" customFormat="false" ht="15" hidden="false" customHeight="false" outlineLevel="0" collapsed="false">
      <c r="A3" s="17"/>
    </row>
    <row r="4" customFormat="false" ht="15" hidden="false" customHeight="false" outlineLevel="0" collapsed="false">
      <c r="A4" s="18" t="s">
        <v>181</v>
      </c>
      <c r="B4" s="16"/>
    </row>
    <row r="5" customFormat="false" ht="15" hidden="false" customHeight="false" outlineLevel="0" collapsed="false">
      <c r="A5" s="17" t="s">
        <v>182</v>
      </c>
      <c r="B5" s="0" t="n">
        <f aca="false">SUM(Transactions!B:B)</f>
        <v>1759250</v>
      </c>
    </row>
    <row r="6" customFormat="false" ht="15" hidden="false" customHeight="false" outlineLevel="0" collapsed="false">
      <c r="A6" s="17" t="s">
        <v>183</v>
      </c>
      <c r="B6" s="0" t="n">
        <f aca="false">SUMIF(Transactions!Q:Q,"Approved",Transactions!B:B)</f>
        <v>1693000</v>
      </c>
    </row>
    <row r="7" customFormat="false" ht="15" hidden="false" customHeight="false" outlineLevel="0" collapsed="false">
      <c r="A7" s="17" t="s">
        <v>184</v>
      </c>
      <c r="B7" s="0" t="n">
        <f aca="false">SUMIF(Transactions!Q:Q,"Pending",Transactions!B:B)</f>
        <v>53500</v>
      </c>
    </row>
    <row r="8" customFormat="false" ht="15" hidden="false" customHeight="false" outlineLevel="0" collapsed="false">
      <c r="A8" s="17" t="s">
        <v>115</v>
      </c>
      <c r="B8" s="0" t="n">
        <f aca="false">SUMIF(Transactions!Q:Q,"Rejected",Transactions!B:B)</f>
        <v>12750</v>
      </c>
    </row>
    <row r="9" customFormat="false" ht="15" hidden="false" customHeight="false" outlineLevel="0" collapsed="false">
      <c r="A9" s="17" t="s">
        <v>185</v>
      </c>
      <c r="B9" s="0" t="n">
        <f aca="false">COUNTA(Transactions!M:M)-1</f>
        <v>13</v>
      </c>
    </row>
    <row r="10" customFormat="false" ht="15" hidden="false" customHeight="false" outlineLevel="0" collapsed="false">
      <c r="A10" s="17"/>
    </row>
    <row r="11" customFormat="false" ht="15" hidden="false" customHeight="false" outlineLevel="0" collapsed="false">
      <c r="A11" s="18" t="s">
        <v>186</v>
      </c>
      <c r="B11" s="16"/>
    </row>
    <row r="12" customFormat="false" ht="15" hidden="false" customHeight="false" outlineLevel="0" collapsed="false">
      <c r="A12" s="17" t="s">
        <v>187</v>
      </c>
      <c r="B12" s="0" t="n">
        <f aca="false">SUMIF(Transactions!R:R,"Wastage",Transactions!B:B)</f>
        <v>1160250</v>
      </c>
    </row>
    <row r="13" customFormat="false" ht="15" hidden="false" customHeight="false" outlineLevel="0" collapsed="false">
      <c r="A13" s="17" t="s">
        <v>188</v>
      </c>
      <c r="B13" s="0" t="n">
        <f aca="false">COUNTIF(Transactions!R:R,"Wastage")</f>
        <v>2</v>
      </c>
    </row>
    <row r="14" customFormat="false" ht="15" hidden="false" customHeight="false" outlineLevel="0" collapsed="false">
      <c r="A14" s="17" t="s">
        <v>189</v>
      </c>
      <c r="B14" s="0" t="n">
        <f aca="false">SUMIF(Transactions!R:R,"Review",Transactions!B:B)</f>
        <v>0</v>
      </c>
    </row>
    <row r="15" customFormat="false" ht="15" hidden="false" customHeight="false" outlineLevel="0" collapsed="false">
      <c r="A15" s="17"/>
    </row>
    <row r="16" customFormat="false" ht="15" hidden="false" customHeight="false" outlineLevel="0" collapsed="false">
      <c r="A16" s="18" t="s">
        <v>190</v>
      </c>
      <c r="B16" s="16"/>
    </row>
    <row r="17" customFormat="false" ht="15" hidden="false" customHeight="false" outlineLevel="0" collapsed="false">
      <c r="A17" s="17" t="s">
        <v>191</v>
      </c>
      <c r="B17" s="0" t="n">
        <f aca="false">COUNTIF(Transactions!W:W,"&lt;&gt;OK")-1</f>
        <v>1048569</v>
      </c>
    </row>
    <row r="18" customFormat="false" ht="15" hidden="false" customHeight="false" outlineLevel="0" collapsed="false">
      <c r="A18" s="17" t="s">
        <v>192</v>
      </c>
      <c r="B18" s="0" t="n">
        <f aca="false">COUNTIF(Transactions!W:W,"*HIGH*")</f>
        <v>3</v>
      </c>
    </row>
    <row r="19" customFormat="false" ht="15" hidden="false" customHeight="false" outlineLevel="0" collapsed="false">
      <c r="A19" s="17" t="s">
        <v>193</v>
      </c>
      <c r="B19" s="0" t="n">
        <f aca="false">COUNTIF(Transactions!W:W,"*INVOICE*")</f>
        <v>1</v>
      </c>
    </row>
    <row r="20" customFormat="false" ht="15" hidden="false" customHeight="false" outlineLevel="0" collapsed="false">
      <c r="A20" s="17" t="s">
        <v>194</v>
      </c>
      <c r="B20" s="0" t="n">
        <f aca="false">COUNTIF(Transactions!W:W,"*BLACKLIST*")</f>
        <v>1</v>
      </c>
    </row>
    <row r="21" customFormat="false" ht="15" hidden="false" customHeight="false" outlineLevel="0" collapsed="false">
      <c r="A21" s="17"/>
    </row>
    <row r="22" customFormat="false" ht="15" hidden="false" customHeight="false" outlineLevel="0" collapsed="false">
      <c r="A22" s="18" t="s">
        <v>195</v>
      </c>
      <c r="B22" s="16"/>
    </row>
    <row r="23" customFormat="false" ht="15" hidden="false" customHeight="false" outlineLevel="0" collapsed="false">
      <c r="A23" s="17" t="s">
        <v>30</v>
      </c>
      <c r="B23" s="0" t="n">
        <f aca="false">SUMIF(Transactions!D:D,"Outsource/PR",Transactions!B:B)</f>
        <v>152000</v>
      </c>
    </row>
    <row r="24" customFormat="false" ht="15" hidden="false" customHeight="false" outlineLevel="0" collapsed="false">
      <c r="A24" s="17" t="s">
        <v>47</v>
      </c>
      <c r="B24" s="0" t="n">
        <f aca="false">SUMIF(Transactions!D:D,"Travel",Transactions!B:B)</f>
        <v>85000</v>
      </c>
    </row>
    <row r="25" customFormat="false" ht="15" hidden="false" customHeight="false" outlineLevel="0" collapsed="false">
      <c r="A25" s="17" t="s">
        <v>59</v>
      </c>
      <c r="B25" s="0" t="n">
        <f aca="false">SUMIF(Transactions!D:D,"Ads &amp; Marketing",Transactions!B:B)</f>
        <v>245000</v>
      </c>
    </row>
    <row r="26" customFormat="false" ht="15" hidden="false" customHeight="false" outlineLevel="0" collapsed="false">
      <c r="A26" s="17" t="s">
        <v>96</v>
      </c>
      <c r="B26" s="0" t="n">
        <f aca="false">SUMIF(Transactions!D:D,"Tools &amp; Subscriptions",Transactions!B:B)</f>
        <v>48500</v>
      </c>
    </row>
    <row r="27" customFormat="false" ht="15" hidden="false" customHeight="false" outlineLevel="0" collapsed="false">
      <c r="A27" s="17" t="s">
        <v>84</v>
      </c>
      <c r="B27" s="0" t="n">
        <f aca="false">SUMIF(Transactions!D:D,"Telegram",Transactions!B:B)</f>
        <v>57750</v>
      </c>
    </row>
    <row r="28" customFormat="false" ht="15" hidden="false" customHeight="false" outlineLevel="0" collapsed="false">
      <c r="A28" s="17" t="s">
        <v>68</v>
      </c>
      <c r="B28" s="0" t="n">
        <f aca="false">SUMIF(Transactions!D:D,"G Suite",Transactions!B:B)</f>
        <v>1147500</v>
      </c>
    </row>
    <row r="29" customFormat="false" ht="15" hidden="false" customHeight="false" outlineLevel="0" collapsed="false">
      <c r="A29" s="17" t="s">
        <v>127</v>
      </c>
      <c r="B29" s="0" t="n">
        <f aca="false">SUMIF(Transactions!D:D,"Content",Transactions!B:B)</f>
        <v>18000</v>
      </c>
    </row>
    <row r="30" customFormat="false" ht="15" hidden="false" customHeight="false" outlineLevel="0" collapsed="false">
      <c r="A30" s="17" t="s">
        <v>154</v>
      </c>
      <c r="B30" s="0" t="n">
        <f aca="false">SUMIF(Transactions!D:D,"Office",Transactions!B:B)</f>
        <v>5500</v>
      </c>
    </row>
    <row r="31" customFormat="false" ht="15" hidden="false" customHeight="false" outlineLevel="0" collapsed="false">
      <c r="A31" s="17"/>
    </row>
    <row r="32" customFormat="false" ht="15" hidden="false" customHeight="false" outlineLevel="0" collapsed="false">
      <c r="A32" s="18" t="s">
        <v>196</v>
      </c>
      <c r="B32" s="16"/>
    </row>
    <row r="33" customFormat="false" ht="15" hidden="false" customHeight="false" outlineLevel="0" collapsed="false">
      <c r="A33" s="17" t="s">
        <v>34</v>
      </c>
      <c r="B33" s="0" t="n">
        <f aca="false">SUMIF(Transactions!I:I,"Company",Transactions!B:B)</f>
        <v>1738000</v>
      </c>
    </row>
    <row r="34" customFormat="false" ht="15" hidden="false" customHeight="false" outlineLevel="0" collapsed="false">
      <c r="A34" s="17" t="s">
        <v>110</v>
      </c>
      <c r="B34" s="0" t="n">
        <f aca="false">SUMIF(Transactions!I:I,"Personal",Transactions!B:B)</f>
        <v>21250</v>
      </c>
    </row>
    <row r="35" customFormat="false" ht="15" hidden="false" customHeight="false" outlineLevel="0" collapsed="false">
      <c r="A35" s="17" t="s">
        <v>168</v>
      </c>
      <c r="B35" s="0" t="n">
        <f aca="false">SUMIF(Transactions!I:I,"Reimbursement",Transactions!B:B)</f>
        <v>0</v>
      </c>
    </row>
    <row r="36" customFormat="false" ht="15" hidden="false" customHeight="false" outlineLevel="0" collapsed="false">
      <c r="A36" s="17"/>
    </row>
    <row r="37" customFormat="false" ht="15" hidden="false" customHeight="false" outlineLevel="0" collapsed="false">
      <c r="A37" s="18" t="s">
        <v>197</v>
      </c>
      <c r="B37" s="16"/>
    </row>
    <row r="38" customFormat="false" ht="15" hidden="false" customHeight="false" outlineLevel="0" collapsed="false">
      <c r="A38" s="17" t="s">
        <v>198</v>
      </c>
      <c r="B38" s="0" t="n">
        <f aca="false">COUNTBLANK(Transactions!L3:L1000)-COUNTBLANK(Transactions!A3:A1000)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8" t="s">
        <v>199</v>
      </c>
      <c r="B1" s="18"/>
      <c r="C1" s="18"/>
    </row>
    <row r="3" customFormat="false" ht="15" hidden="false" customHeight="false" outlineLevel="0" collapsed="false">
      <c r="A3" s="18" t="s">
        <v>200</v>
      </c>
      <c r="B3" s="18" t="s">
        <v>201</v>
      </c>
      <c r="C3" s="18" t="s">
        <v>202</v>
      </c>
    </row>
    <row r="4" customFormat="false" ht="15" hidden="false" customHeight="false" outlineLevel="0" collapsed="false">
      <c r="A4" s="0" t="s">
        <v>4</v>
      </c>
      <c r="B4" s="0" t="s">
        <v>203</v>
      </c>
      <c r="C4" s="0" t="s">
        <v>204</v>
      </c>
    </row>
    <row r="5" customFormat="false" ht="15" hidden="false" customHeight="false" outlineLevel="0" collapsed="false">
      <c r="A5" s="0" t="s">
        <v>5</v>
      </c>
      <c r="B5" s="0" t="s">
        <v>203</v>
      </c>
      <c r="C5" s="0" t="s">
        <v>205</v>
      </c>
    </row>
    <row r="6" customFormat="false" ht="15" hidden="false" customHeight="false" outlineLevel="0" collapsed="false">
      <c r="A6" s="0" t="s">
        <v>206</v>
      </c>
      <c r="B6" s="0" t="s">
        <v>203</v>
      </c>
      <c r="C6" s="0" t="s">
        <v>207</v>
      </c>
    </row>
    <row r="7" customFormat="false" ht="15" hidden="false" customHeight="false" outlineLevel="0" collapsed="false">
      <c r="A7" s="0" t="s">
        <v>208</v>
      </c>
      <c r="B7" s="0" t="s">
        <v>203</v>
      </c>
      <c r="C7" s="0" t="s">
        <v>209</v>
      </c>
    </row>
    <row r="8" customFormat="false" ht="15" hidden="false" customHeight="false" outlineLevel="0" collapsed="false">
      <c r="A8" s="0" t="s">
        <v>8</v>
      </c>
      <c r="B8" s="0" t="s">
        <v>203</v>
      </c>
      <c r="C8" s="0" t="s">
        <v>210</v>
      </c>
    </row>
    <row r="9" customFormat="false" ht="15" hidden="false" customHeight="false" outlineLevel="0" collapsed="false">
      <c r="A9" s="0" t="s">
        <v>9</v>
      </c>
      <c r="B9" s="0" t="s">
        <v>203</v>
      </c>
      <c r="C9" s="0" t="s">
        <v>211</v>
      </c>
    </row>
    <row r="10" customFormat="false" ht="15" hidden="false" customHeight="false" outlineLevel="0" collapsed="false">
      <c r="A10" s="0" t="s">
        <v>10</v>
      </c>
      <c r="B10" s="0" t="s">
        <v>203</v>
      </c>
      <c r="C10" s="0" t="s">
        <v>212</v>
      </c>
    </row>
    <row r="11" customFormat="false" ht="15" hidden="false" customHeight="false" outlineLevel="0" collapsed="false">
      <c r="A11" s="0" t="s">
        <v>11</v>
      </c>
      <c r="C11" s="0" t="s">
        <v>213</v>
      </c>
    </row>
    <row r="12" customFormat="false" ht="15" hidden="false" customHeight="false" outlineLevel="0" collapsed="false">
      <c r="A12" s="0" t="s">
        <v>214</v>
      </c>
      <c r="B12" s="0" t="s">
        <v>203</v>
      </c>
      <c r="C12" s="0" t="s">
        <v>215</v>
      </c>
    </row>
    <row r="13" customFormat="false" ht="15" hidden="false" customHeight="false" outlineLevel="0" collapsed="false">
      <c r="A13" s="0" t="s">
        <v>216</v>
      </c>
      <c r="B13" s="0" t="s">
        <v>203</v>
      </c>
      <c r="C13" s="0" t="s">
        <v>217</v>
      </c>
    </row>
    <row r="14" customFormat="false" ht="15" hidden="false" customHeight="false" outlineLevel="0" collapsed="false">
      <c r="A14" s="0" t="s">
        <v>218</v>
      </c>
      <c r="B14" s="0" t="s">
        <v>203</v>
      </c>
      <c r="C14" s="0" t="s">
        <v>219</v>
      </c>
    </row>
    <row r="15" customFormat="false" ht="15" hidden="false" customHeight="false" outlineLevel="0" collapsed="false">
      <c r="A15" s="0" t="s">
        <v>220</v>
      </c>
      <c r="C15" s="0" t="s">
        <v>221</v>
      </c>
    </row>
    <row r="16" customFormat="false" ht="15" hidden="false" customHeight="false" outlineLevel="0" collapsed="false">
      <c r="A16" s="0" t="s">
        <v>222</v>
      </c>
      <c r="C16" s="0" t="s">
        <v>223</v>
      </c>
    </row>
    <row r="18" customFormat="false" ht="15" hidden="false" customHeight="false" outlineLevel="0" collapsed="false">
      <c r="A18" s="18" t="s">
        <v>224</v>
      </c>
      <c r="B18" s="18"/>
      <c r="C18" s="18"/>
    </row>
    <row r="19" customFormat="false" ht="15" hidden="false" customHeight="false" outlineLevel="0" collapsed="false">
      <c r="C19" s="0" t="s">
        <v>225</v>
      </c>
    </row>
    <row r="20" customFormat="false" ht="15" hidden="false" customHeight="false" outlineLevel="0" collapsed="false">
      <c r="C20" s="0" t="s">
        <v>226</v>
      </c>
    </row>
    <row r="21" customFormat="false" ht="15" hidden="false" customHeight="false" outlineLevel="0" collapsed="false">
      <c r="C21" s="0" t="s">
        <v>227</v>
      </c>
    </row>
    <row r="22" customFormat="false" ht="15" hidden="false" customHeight="false" outlineLevel="0" collapsed="false">
      <c r="C22" s="0" t="s">
        <v>228</v>
      </c>
    </row>
    <row r="23" customFormat="false" ht="15" hidden="false" customHeight="false" outlineLevel="0" collapsed="false">
      <c r="C23" s="0" t="s">
        <v>229</v>
      </c>
    </row>
    <row r="24" customFormat="false" ht="15" hidden="false" customHeight="false" outlineLevel="0" collapsed="false">
      <c r="C24" s="0" t="s">
        <v>230</v>
      </c>
    </row>
    <row r="26" customFormat="false" ht="15" hidden="false" customHeight="false" outlineLevel="0" collapsed="false">
      <c r="A26" s="18" t="s">
        <v>231</v>
      </c>
      <c r="B26" s="18"/>
      <c r="C26" s="18"/>
    </row>
    <row r="27" customFormat="false" ht="15" hidden="false" customHeight="false" outlineLevel="0" collapsed="false">
      <c r="C27" s="0" t="s">
        <v>232</v>
      </c>
    </row>
    <row r="28" customFormat="false" ht="15" hidden="false" customHeight="false" outlineLevel="0" collapsed="false">
      <c r="C28" s="0" t="s">
        <v>233</v>
      </c>
    </row>
    <row r="29" customFormat="false" ht="15" hidden="false" customHeight="false" outlineLevel="0" collapsed="false">
      <c r="C29" s="0" t="s">
        <v>234</v>
      </c>
    </row>
    <row r="30" customFormat="false" ht="15" hidden="false" customHeight="false" outlineLevel="0" collapsed="false">
      <c r="C30" s="0" t="s">
        <v>235</v>
      </c>
    </row>
    <row r="31" customFormat="false" ht="15" hidden="false" customHeight="false" outlineLevel="0" collapsed="false">
      <c r="C31" s="0" t="s">
        <v>236</v>
      </c>
    </row>
    <row r="32" customFormat="false" ht="15" hidden="false" customHeight="false" outlineLevel="0" collapsed="false">
      <c r="C32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8" t="s">
        <v>238</v>
      </c>
    </row>
    <row r="2" customFormat="false" ht="15" hidden="false" customHeight="false" outlineLevel="0" collapsed="false">
      <c r="A2" s="0" t="s">
        <v>239</v>
      </c>
    </row>
    <row r="4" customFormat="false" ht="15" hidden="false" customHeight="false" outlineLevel="0" collapsed="false">
      <c r="A4" s="18" t="s">
        <v>240</v>
      </c>
      <c r="B4" s="19" t="s">
        <v>241</v>
      </c>
    </row>
    <row r="5" customFormat="false" ht="15" hidden="false" customHeight="false" outlineLevel="0" collapsed="false">
      <c r="A5" s="0" t="s">
        <v>118</v>
      </c>
      <c r="B5" s="0" t="s">
        <v>242</v>
      </c>
    </row>
    <row r="6" customFormat="false" ht="15" hidden="false" customHeight="false" outlineLevel="0" collapsed="false">
      <c r="A6" s="0" t="s">
        <v>80</v>
      </c>
      <c r="B6" s="0" t="s">
        <v>243</v>
      </c>
    </row>
    <row r="7" customFormat="false" ht="15" hidden="false" customHeight="false" outlineLevel="0" collapsed="false">
      <c r="A7" s="0" t="s">
        <v>55</v>
      </c>
      <c r="B7" s="0" t="s">
        <v>244</v>
      </c>
    </row>
    <row r="8" customFormat="false" ht="15" hidden="false" customHeight="false" outlineLevel="0" collapsed="false">
      <c r="A8" s="0" t="s">
        <v>93</v>
      </c>
      <c r="B8" s="0" t="s">
        <v>245</v>
      </c>
    </row>
    <row r="9" customFormat="false" ht="15" hidden="false" customHeight="false" outlineLevel="0" collapsed="false">
      <c r="A9" s="0" t="s">
        <v>143</v>
      </c>
      <c r="B9" s="0" t="s">
        <v>246</v>
      </c>
    </row>
    <row r="10" customFormat="false" ht="15" hidden="false" customHeight="false" outlineLevel="0" collapsed="false">
      <c r="A10" s="0" t="s">
        <v>247</v>
      </c>
      <c r="B10" s="0" t="s">
        <v>248</v>
      </c>
    </row>
    <row r="11" customFormat="false" ht="15" hidden="false" customHeight="false" outlineLevel="0" collapsed="false">
      <c r="A11" s="0" t="s">
        <v>43</v>
      </c>
      <c r="B11" s="0" t="s">
        <v>249</v>
      </c>
    </row>
    <row r="13" customFormat="false" ht="15" hidden="false" customHeight="false" outlineLevel="0" collapsed="false">
      <c r="A13" s="18" t="s">
        <v>250</v>
      </c>
    </row>
    <row r="14" customFormat="false" ht="15" hidden="false" customHeight="false" outlineLevel="0" collapsed="false">
      <c r="A14" s="0" t="s">
        <v>107</v>
      </c>
      <c r="B14" s="0" t="s">
        <v>251</v>
      </c>
    </row>
    <row r="16" customFormat="false" ht="15" hidden="false" customHeight="false" outlineLevel="0" collapsed="false">
      <c r="A16" s="18" t="s">
        <v>252</v>
      </c>
    </row>
    <row r="17" customFormat="false" ht="15" hidden="false" customHeight="false" outlineLevel="0" collapsed="false">
      <c r="A17" s="0" t="str">
        <f aca="false">IF(F3="Buy Telegram account","🚨 BLACKLIST",IF(B3&gt;100000,"🚨 VERY HIGH",IF(B3&gt;50000,"⚠️ HIGH VALUE",IF(L3="","⚠️ NO INVOICE",IF(OR(ISNUMBER(SEARCH("duplicate",E3)),ISNUMBER(SEARCH("unused",E3))),"⚠️ KEYWORD","OK")))))</f>
        <v>⚠️ NO INVOICE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7.35" hidden="false" customHeight="false" outlineLevel="0" collapsed="false">
      <c r="A1" s="20" t="s">
        <v>253</v>
      </c>
    </row>
    <row r="3" customFormat="false" ht="15" hidden="false" customHeight="false" outlineLevel="0" collapsed="false">
      <c r="A3" s="18" t="s">
        <v>254</v>
      </c>
    </row>
    <row r="4" customFormat="false" ht="15" hidden="false" customHeight="false" outlineLevel="0" collapsed="false">
      <c r="A4" s="0" t="s">
        <v>255</v>
      </c>
    </row>
    <row r="5" customFormat="false" ht="15" hidden="false" customHeight="false" outlineLevel="0" collapsed="false">
      <c r="A5" s="0" t="s">
        <v>256</v>
      </c>
    </row>
    <row r="6" customFormat="false" ht="15" hidden="false" customHeight="false" outlineLevel="0" collapsed="false">
      <c r="A6" s="0" t="s">
        <v>257</v>
      </c>
    </row>
    <row r="7" customFormat="false" ht="15" hidden="false" customHeight="false" outlineLevel="0" collapsed="false">
      <c r="A7" s="0" t="s">
        <v>258</v>
      </c>
    </row>
    <row r="9" customFormat="false" ht="15" hidden="false" customHeight="false" outlineLevel="0" collapsed="false">
      <c r="A9" s="18" t="s">
        <v>259</v>
      </c>
    </row>
    <row r="10" customFormat="false" ht="15" hidden="false" customHeight="false" outlineLevel="0" collapsed="false">
      <c r="A10" s="0" t="s">
        <v>260</v>
      </c>
    </row>
    <row r="11" customFormat="false" ht="15" hidden="false" customHeight="false" outlineLevel="0" collapsed="false">
      <c r="A11" s="0" t="s">
        <v>261</v>
      </c>
    </row>
    <row r="12" customFormat="false" ht="15" hidden="false" customHeight="false" outlineLevel="0" collapsed="false">
      <c r="A12" s="0" t="s">
        <v>262</v>
      </c>
    </row>
    <row r="13" customFormat="false" ht="15" hidden="false" customHeight="false" outlineLevel="0" collapsed="false">
      <c r="A13" s="0" t="s">
        <v>263</v>
      </c>
    </row>
    <row r="14" customFormat="false" ht="15" hidden="false" customHeight="false" outlineLevel="0" collapsed="false">
      <c r="A14" s="0" t="s">
        <v>264</v>
      </c>
    </row>
    <row r="15" customFormat="false" ht="15" hidden="false" customHeight="false" outlineLevel="0" collapsed="false">
      <c r="A15" s="0" t="s">
        <v>265</v>
      </c>
    </row>
    <row r="16" customFormat="false" ht="15" hidden="false" customHeight="false" outlineLevel="0" collapsed="false">
      <c r="A16" s="0" t="s">
        <v>266</v>
      </c>
    </row>
    <row r="17" customFormat="false" ht="15" hidden="false" customHeight="false" outlineLevel="0" collapsed="false">
      <c r="A17" s="0" t="s">
        <v>267</v>
      </c>
    </row>
    <row r="18" customFormat="false" ht="15" hidden="false" customHeight="false" outlineLevel="0" collapsed="false">
      <c r="A18" s="0" t="s">
        <v>268</v>
      </c>
    </row>
    <row r="20" customFormat="false" ht="15" hidden="false" customHeight="false" outlineLevel="0" collapsed="false">
      <c r="A20" s="18" t="s">
        <v>269</v>
      </c>
    </row>
    <row r="21" customFormat="false" ht="15" hidden="false" customHeight="false" outlineLevel="0" collapsed="false">
      <c r="A21" s="0" t="s">
        <v>270</v>
      </c>
    </row>
    <row r="22" customFormat="false" ht="15" hidden="false" customHeight="false" outlineLevel="0" collapsed="false">
      <c r="A22" s="0" t="s">
        <v>271</v>
      </c>
    </row>
    <row r="23" customFormat="false" ht="15" hidden="false" customHeight="false" outlineLevel="0" collapsed="false">
      <c r="A23" s="0" t="s">
        <v>272</v>
      </c>
    </row>
    <row r="25" customFormat="false" ht="15" hidden="false" customHeight="false" outlineLevel="0" collapsed="false">
      <c r="A25" s="18" t="s">
        <v>273</v>
      </c>
    </row>
    <row r="26" customFormat="false" ht="15" hidden="false" customHeight="false" outlineLevel="0" collapsed="false">
      <c r="A26" s="0" t="s">
        <v>274</v>
      </c>
    </row>
    <row r="27" customFormat="false" ht="15" hidden="false" customHeight="false" outlineLevel="0" collapsed="false">
      <c r="A27" s="0" t="s">
        <v>275</v>
      </c>
    </row>
    <row r="28" customFormat="false" ht="15" hidden="false" customHeight="false" outlineLevel="0" collapsed="false">
      <c r="A28" s="0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2026-01-17T06:54:31Z</dcterms:created>
  <dc:creator>openpyxl</dc:creator>
  <dc:description/>
  <dc:language>en-US</dc:language>
  <cp:lastModifiedBy/>
  <dcterms:modified xsi:type="dcterms:W3CDTF">2026-01-17T06:54:31Z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